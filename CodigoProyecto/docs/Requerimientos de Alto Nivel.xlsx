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les" sheetId="1" r:id="rId5"/>
    <sheet state="visible" name="Req. No Funcionales" sheetId="2" r:id="rId6"/>
    <sheet state="visible" name="Glosario" sheetId="3" r:id="rId7"/>
    <sheet state="visible" name="Resumen" sheetId="4" r:id="rId8"/>
  </sheets>
  <definedNames/>
  <calcPr/>
</workbook>
</file>

<file path=xl/sharedStrings.xml><?xml version="1.0" encoding="utf-8"?>
<sst xmlns="http://schemas.openxmlformats.org/spreadsheetml/2006/main" count="389" uniqueCount="328">
  <si>
    <t>Requerimientos Funcionales — RF-01 a RF-14</t>
  </si>
  <si>
    <t>Requerimientos No Funcionales — RNF-01 a RNF-08</t>
  </si>
  <si>
    <t>Resumen y notas de la especificación</t>
  </si>
  <si>
    <t>Glosario de términos</t>
  </si>
  <si>
    <t>Proyecto VolAR — Sistema Integral de Gestión de Vuelos y Pasajes  |  Comisión 5 — Análisis y Management  |  Proyectos de Sistemas de Software, 2º cuatrimestre 2026 (UNS)  |  Entregable Sprint 0 — 27/09/2026</t>
  </si>
  <si>
    <t>ID</t>
  </si>
  <si>
    <t>Término</t>
  </si>
  <si>
    <t>Concepto</t>
  </si>
  <si>
    <t>Nombre</t>
  </si>
  <si>
    <t>Definición</t>
  </si>
  <si>
    <t>Categoría</t>
  </si>
  <si>
    <t>Descripción</t>
  </si>
  <si>
    <t>Términos</t>
  </si>
  <si>
    <t>Justificación</t>
  </si>
  <si>
    <t>Valor</t>
  </si>
  <si>
    <t>Vuelo</t>
  </si>
  <si>
    <t>Prioridad</t>
  </si>
  <si>
    <t>Dependencias</t>
  </si>
  <si>
    <t>Detalle</t>
  </si>
  <si>
    <t>Documentos</t>
  </si>
  <si>
    <t>Argumentos de factibilidad</t>
  </si>
  <si>
    <t>Métodos de verificación</t>
  </si>
  <si>
    <t>Requerimientos funcionales</t>
  </si>
  <si>
    <t>RF-01</t>
  </si>
  <si>
    <t>Servicio entre un aeropuerto de origen y uno de destino, con días de operación, horarios y período de disponibilidad definidos. Se asumen todos directos, sin escalas.</t>
  </si>
  <si>
    <t>Gestión de vuelos</t>
  </si>
  <si>
    <t>Clase</t>
  </si>
  <si>
    <t>Categoría del pasaje dentro de un mismo vuelo: Economy o Primera Clase. Determina el cupo y la tarifa.</t>
  </si>
  <si>
    <t>Cupo</t>
  </si>
  <si>
    <t>Funcional</t>
  </si>
  <si>
    <t>Cantidad de asientos disponibles de una clase en un vuelo, igual a la capacidad configurada menos los pasajes vendidos.</t>
  </si>
  <si>
    <t>El sistema debe permitir al administrador crear, modificar y cancelar vuelos, indicando los días de la semana en que operan, el horario de partida y de llegada, y los aeropuertos de origen y destino.</t>
  </si>
  <si>
    <t>Transacción</t>
  </si>
  <si>
    <t>Vuelo, Ruta, Administrador, Frecuencia semanal</t>
  </si>
  <si>
    <t>Operación única de compra que agrupa hasta 9 pasajes de una misma clase para un mismo vuelo.</t>
  </si>
  <si>
    <t>Es la base operativa del sistema: sin vuelos cargados no existe oferta para vender ni información para reportar.</t>
  </si>
  <si>
    <t>Pasaje electrónico</t>
  </si>
  <si>
    <t>Comprobante nominado que acredita el derecho de un pasajero a viajar en un vuelo y clase determinados.</t>
  </si>
  <si>
    <t>Factura</t>
  </si>
  <si>
    <t>Escala</t>
  </si>
  <si>
    <t>Comprobante de la operación de venta, emitido junto con los pasajes y enviado al comprador.</t>
  </si>
  <si>
    <t>Test</t>
  </si>
  <si>
    <t>RF-12</t>
  </si>
  <si>
    <t>Peor caso</t>
  </si>
  <si>
    <t>Pasarela de pagos</t>
  </si>
  <si>
    <t>Nivel planificado</t>
  </si>
  <si>
    <t>Enunciado 1 del proyecto PSS-2026; POS VolAR</t>
  </si>
  <si>
    <t>Servicio que procesa el pago. A los fines del proyecto se asume simulado, según supuesto registrado en el POS.</t>
  </si>
  <si>
    <t>Mejor caso</t>
  </si>
  <si>
    <t>Es un ABM sobre entidades propias del sistema, sin integraciones externas ni algoritmos complejos.</t>
  </si>
  <si>
    <t>Período de disponibilidad</t>
  </si>
  <si>
    <t>Nivel actual</t>
  </si>
  <si>
    <t>Prueba funcional: crear un vuelo con todos sus datos, modificarlo y cancelarlo, verificando la persistencia y el reflejo en la búsqueda.</t>
  </si>
  <si>
    <t>Rango entre una fecha de inicio y una de fin dentro del cual un vuelo puede venderse.</t>
  </si>
  <si>
    <t>RF-02</t>
  </si>
  <si>
    <t>Rol</t>
  </si>
  <si>
    <t>Perfil que determina las funciones habilitadas para un usuario: administrador, empleado de mostrador o pasajero.</t>
  </si>
  <si>
    <t>RNF-01</t>
  </si>
  <si>
    <t>Reprogramación</t>
  </si>
  <si>
    <t>Definición del período de disponibilidad de venta</t>
  </si>
  <si>
    <t>Traslado de un pasaje vendido a un nuevo horario o fecha tras un cambio o cancelación del vuelo.</t>
  </si>
  <si>
    <t>Tiempo de respuesta de la búsqueda</t>
  </si>
  <si>
    <t>No funcional — Rendimiento</t>
  </si>
  <si>
    <t>La búsqueda de vuelos debe devolver las opciones disponibles en un tiempo que no interrumpa el flujo de compra del pasajero.</t>
  </si>
  <si>
    <t>El sistema debe permitir definir, para cada vuelo, una fecha de inicio y una fecha de fin que delimiten el período del año en que estará disponible para la venta.</t>
  </si>
  <si>
    <t>Segundos transcurridos entre el envío de la búsqueda y el despliegue de los resultados.</t>
  </si>
  <si>
    <t>Período de disponibilidad, Vuelo</t>
  </si>
  <si>
    <t>Medición sobre 100 búsquedas con distintos pares origen-destino, tomando el percentil 90.</t>
  </si>
  <si>
    <t>6 segundos</t>
  </si>
  <si>
    <t>La aerolínea opera rutas estacionales y necesita publicar la oferta con anticipación sin habilitar la venta fuera de temporada.</t>
  </si>
  <si>
    <t>Cantidad total de RF especificados en la hoja Req. Funcionales.</t>
  </si>
  <si>
    <t>4 segundos en el 90 % de las búsquedas</t>
  </si>
  <si>
    <t>1 segundo</t>
  </si>
  <si>
    <t>No aplica: no existe sistema previo</t>
  </si>
  <si>
    <t>Prioridad Alta</t>
  </si>
  <si>
    <t>Enunciado 1; acuerdo con el cliente del 03/09 (disponibilidad entre fecha de inicio y fin)</t>
  </si>
  <si>
    <t>RNF-02</t>
  </si>
  <si>
    <t>Se resuelve con dos atributos de fecha en la entidad vuelo y un filtro en la búsqueda.</t>
  </si>
  <si>
    <t>Prueba funcional: buscar el vuelo en una fecha dentro y fuera del período y verificar que solo aparece en el primer caso.</t>
  </si>
  <si>
    <t>Tiempo de emisión y envío de comprobantes</t>
  </si>
  <si>
    <t>RF-03</t>
  </si>
  <si>
    <t>Los pasajes electrónicos y la factura deben emitirse y enviarse inmediatamente después de registrado el pago.</t>
  </si>
  <si>
    <t>Minutos entre la confirmación del pago y el envío del correo.</t>
  </si>
  <si>
    <t>Configuración de capacidad por clase</t>
  </si>
  <si>
    <t>Registro del timestamp de confirmación y del timestamp de envío en 30 compras de prueba.</t>
  </si>
  <si>
    <t>5 minutos</t>
  </si>
  <si>
    <t>2 minutos en el 100 % de las compras confirmadas</t>
  </si>
  <si>
    <t>El sistema debe permitir al administrador definir la capacidad del avión asignado a cada vuelo, discriminando la cantidad de asientos de clase Economy y de Primera Clase.</t>
  </si>
  <si>
    <t>30 segundos</t>
  </si>
  <si>
    <t>Capacidad, Clase, Economy, Primera Clase, Cupo</t>
  </si>
  <si>
    <t>Es el dato que limita la venta y alimenta el control de ocupación.</t>
  </si>
  <si>
    <t>RNF-03</t>
  </si>
  <si>
    <t>Disponibilidad del sistema</t>
  </si>
  <si>
    <t>Enunciado 1; POS VolAR</t>
  </si>
  <si>
    <t>No funcional — Disponibilidad</t>
  </si>
  <si>
    <t>Dos atributos numéricos por vuelo, validados contra las ventas registradas.</t>
  </si>
  <si>
    <t>La plataforma debe permanecer operativa durante las franjas horarias de mayor venta.</t>
  </si>
  <si>
    <t>Prueba funcional: configurar capacidades, vender hasta agotar una clase y verificar que el sistema bloquea la venta adicional en esa clase.</t>
  </si>
  <si>
    <t>Porcentaje de tiempo operativo sobre el total de horas pico del mes.</t>
  </si>
  <si>
    <t>RF-04</t>
  </si>
  <si>
    <t>Monitoreo automático de disponibilidad con registro de caídas y su duración.</t>
  </si>
  <si>
    <t>Núcleo del circuito de venta: sin estos no hay producto demostrable.</t>
  </si>
  <si>
    <t>95 %</t>
  </si>
  <si>
    <t>98 %</t>
  </si>
  <si>
    <t>99,9 %</t>
  </si>
  <si>
    <t>Prioridad Media</t>
  </si>
  <si>
    <t>RNF-04</t>
  </si>
  <si>
    <t>Usuarios concurrentes</t>
  </si>
  <si>
    <t>No funcional — Escalabilidad</t>
  </si>
  <si>
    <t>Gestión de tarifas por clase</t>
  </si>
  <si>
    <t>El sistema debe sostener la operación simultánea de pasajeros comprando y consultando sin degradar los tiempos de respuesta comprometidos.</t>
  </si>
  <si>
    <t>Cantidad de usuarios concurrentes sostenidos cumpliendo RNF-01.</t>
  </si>
  <si>
    <t>El sistema debe permitir definir y modificar el precio del pasaje de cada vuelo, diferenciado por clase.</t>
  </si>
  <si>
    <t>Prueba de carga incremental hasta detectar el punto en que se incumple el tiempo de respuesta.</t>
  </si>
  <si>
    <t>100 usuarios concurrentes</t>
  </si>
  <si>
    <t>300 usuarios concurrentes</t>
  </si>
  <si>
    <t>1000 usuarios concurrentes</t>
  </si>
  <si>
    <t>Tarifa, Clase, Pasaje</t>
  </si>
  <si>
    <t>A confirmar con el cliente: el volumen esperado en pico todavía no fue informado</t>
  </si>
  <si>
    <t>Sin precio por clase no puede calcularse el importe de una compra ni diferenciarse la oferta comercial.</t>
  </si>
  <si>
    <t>RF-01, RF-03</t>
  </si>
  <si>
    <t>RNF-05</t>
  </si>
  <si>
    <t>Usabilidad del alta de vuelos</t>
  </si>
  <si>
    <t>Atributo de precio por clase, sin reglas dinámicas de pricing en el alcance acordado.</t>
  </si>
  <si>
    <t>No funcional — Usabilidad</t>
  </si>
  <si>
    <t>Prueba funcional: modificar la tarifa y verificar que el importe calculado en una compra nueva refleja el valor vigente.</t>
  </si>
  <si>
    <t>Un administrador debe poder dar de alta un vuelo completo sin asistencia ni consulta de manuales.</t>
  </si>
  <si>
    <t>Minutos que demanda el alta completa de un vuelo, medida sobre usuarios que no participaron del desarrollo.</t>
  </si>
  <si>
    <t>Completan la experiencia y el control operativo de la aerolínea.</t>
  </si>
  <si>
    <t>RF-05</t>
  </si>
  <si>
    <t>Prueba de usabilidad con 5 personas cronometrando la tarea y registrando los errores cometidos.</t>
  </si>
  <si>
    <t>10 minutos</t>
  </si>
  <si>
    <t>Prioridad Baja</t>
  </si>
  <si>
    <t>Búsqueda de vuelos</t>
  </si>
  <si>
    <t>2 minutos</t>
  </si>
  <si>
    <t>El sistema debe permitir al pasajero buscar vuelos indicando origen y destino, y mostrar las opciones disponibles según fecha y horario.</t>
  </si>
  <si>
    <t>No aplica: la carga se realiza hoy por planilla, sin tiempo medido</t>
  </si>
  <si>
    <t>Búsqueda, Origen, Destino, Disponibilidad</t>
  </si>
  <si>
    <t>RNF-06</t>
  </si>
  <si>
    <t>Es el punto de entrada del canal de venta digital y la funcionalidad más usada del sistema.</t>
  </si>
  <si>
    <t>Compatibilidad y diseño responsive</t>
  </si>
  <si>
    <t>No funcional — Portabilidad</t>
  </si>
  <si>
    <t>RF-01, RF-02, RF-03</t>
  </si>
  <si>
    <t>Consulta con filtros sobre la base de vuelos; el volumen esperado no exige infraestructura especial.</t>
  </si>
  <si>
    <t>La interfaz de pasajero debe ser utilizable desde computadoras de escritorio y desde teléfonos, sin pérdida de funcionalidad, cubriendo así el acceso móvil acordado con el cliente.</t>
  </si>
  <si>
    <t>Prueba funcional con casos de borde: sin resultados, un resultado, múltiples horarios el mismo día y fecha fuera del período de venta.</t>
  </si>
  <si>
    <t>Canal presencial; puede postergarse al último sprint sin afectar la meta.</t>
  </si>
  <si>
    <t>Cantidad de funciones del pasajero operables sin defectos de visualización, por navegador y por ancho de pantalla.</t>
  </si>
  <si>
    <t>Recorrido completo del flujo de compra en dos navegadores de escritorio y dos anchos de pantalla de teléfono.</t>
  </si>
  <si>
    <t>Requerimientos no funcionales</t>
  </si>
  <si>
    <t>El flujo de compra es operable pero con defectos menores de visualización</t>
  </si>
  <si>
    <t>RF-06</t>
  </si>
  <si>
    <t>100 % de las funciones del pasajero operables en escritorio y en pantallas de 360 px o más</t>
  </si>
  <si>
    <t>Compra de pasajes</t>
  </si>
  <si>
    <t>Sin defectos de visualización en ningún navegador ni resolución probada</t>
  </si>
  <si>
    <t>RNF-07</t>
  </si>
  <si>
    <t>El sistema debe permitir comprar hasta 9 pasajes en una única transacción, seleccionando una clase (Economy o Primera) para toda la compra, y calcular el importe total según tarifa y cantidad.</t>
  </si>
  <si>
    <t>Seguridad de accesos</t>
  </si>
  <si>
    <t>Transacción, Pasaje, Clase, Cupo</t>
  </si>
  <si>
    <t>No funcional — Seguridad</t>
  </si>
  <si>
    <t>El acceso a las funciones de administración y de mostrador debe estar restringido a usuarios autenticados con el rol correspondiente.</t>
  </si>
  <si>
    <t>Permite que un grupo familiar o de trabajo compre en una sola operación, sin repetir la búsqueda por cada acompañante.</t>
  </si>
  <si>
    <t>Cantidad de accesos no autorizados exitosos detectados en las pruebas.</t>
  </si>
  <si>
    <t>RF-05, RF-03, RF-04</t>
  </si>
  <si>
    <t>Rendimiento, disponibilidad, escalabilidad, usabilidad, portabilidad y seguridad.</t>
  </si>
  <si>
    <t>Batería de pruebas de control de acceso: acceso directo por URL, sesión expirada y usuario con rol insuficiente.</t>
  </si>
  <si>
    <t>Enunciado 1; acuerdo con el cliente del 03/09 (los 9 pasajes son de una única clase)</t>
  </si>
  <si>
    <t>Ningún acceso no autorizado exitoso; se admiten hallazgos de severidad baja</t>
  </si>
  <si>
    <t>La restricción de cantidad y de clase única simplifica el cálculo y la validación de cupo.</t>
  </si>
  <si>
    <t>0 accesos no autorizados exitosos y 0 hallazgos de severidad alta</t>
  </si>
  <si>
    <t>Términos en el glosario</t>
  </si>
  <si>
    <t>Prueba funcional: comprar 1, 9 y 10 pasajes, verificando que el décimo es rechazado con un mensaje y que el importe total es correcto.</t>
  </si>
  <si>
    <t>Definiciones referenciadas en el campo Términos de cada requerimiento.</t>
  </si>
  <si>
    <t>RF-07</t>
  </si>
  <si>
    <t>Registro de datos de los pasajeros</t>
  </si>
  <si>
    <t>Notas y supuestos</t>
  </si>
  <si>
    <t>El sistema debe solicitar y almacenar los datos identificatorios de cada pasajero incluido en la compra, asociándolos al pasaje electrónico correspondiente.</t>
  </si>
  <si>
    <t>Pasajero, Pasaje electrónico</t>
  </si>
  <si>
    <t>Cada pasaje se emite a nombre de una persona determinada y debe poder verificarse en el embarque.</t>
  </si>
  <si>
    <t>Enunciado 1</t>
  </si>
  <si>
    <t>Formulario por pasajero con validaciones de formato; no requiere integración con organismos externos.</t>
  </si>
  <si>
    <t>Prueba funcional: completar una compra de varios pasajes y verificar que cada pasaje emitido corresponde al pasajero cargado.</t>
  </si>
  <si>
    <t>RF-08</t>
  </si>
  <si>
    <t>Prioridades</t>
  </si>
  <si>
    <t>Gestión de pagos</t>
  </si>
  <si>
    <t>Propuesta a validar</t>
  </si>
  <si>
    <t>El enunciado indica que la priorización se realiza junto al ayudante. Las prioridades cargadas son una propuesta para la revisión del 24/09.</t>
  </si>
  <si>
    <t>El sistema debe permitir ingresar la información de pago, procesarla contra una pasarela simulada y registrar la transacción con su resultado, importe y fecha.</t>
  </si>
  <si>
    <t>Supuesto: pasarela</t>
  </si>
  <si>
    <t>Pasarela de pagos, Transacción, Compra confirmada</t>
  </si>
  <si>
    <t>Simulada</t>
  </si>
  <si>
    <t>Es la condición para confirmar la compra y emitir los comprobantes; además deja la trazabilidad de lo vendido.</t>
  </si>
  <si>
    <t>Registrado en el POS del 13/09. Afecta a RF-08 y a RNF-08.</t>
  </si>
  <si>
    <t>RF-06, RF-07</t>
  </si>
  <si>
    <t>0 hallazgos de cualquier severidad más verificación en dos pasos disponible</t>
  </si>
  <si>
    <t>Enunciado 1; supuesto registrado en el POS sobre simulación de la pasarela</t>
  </si>
  <si>
    <t>Al simularse la pasarela, se evita la certificación de un proveedor real y el manejo de datos sensibles de tarjeta en producción.</t>
  </si>
  <si>
    <t>Prueba funcional con pago aceptado y pago rechazado, verificando que solo el primero confirma la compra y libera cupo en el segundo caso.</t>
  </si>
  <si>
    <t>RNF-08</t>
  </si>
  <si>
    <t>RF-09</t>
  </si>
  <si>
    <t>Protección de datos personales y de pago</t>
  </si>
  <si>
    <t>Supuesto: acceso móvil</t>
  </si>
  <si>
    <t>Emisión y envío de pasajes y factura</t>
  </si>
  <si>
    <t>Interfaz responsive</t>
  </si>
  <si>
    <t>Los datos personales de los pasajeros y la información de pago deben viajar cifrados y no almacenarse en claro.</t>
  </si>
  <si>
    <t>Porcentaje de campos sensibles transmitidos por canal cifrado y almacenados sin exponer su valor original.</t>
  </si>
  <si>
    <t>Acordado con el cliente el 03/09. Se especifica en RNF-06 y no como app nativa.</t>
  </si>
  <si>
    <t>Ante una compra confirmada, el sistema debe generar los pasajes electrónicos y la factura correspondiente y enviarlos automáticamente por correo electrónico al comprador.</t>
  </si>
  <si>
    <t>Inspección del tráfico y revisión del esquema de datos en busca de campos sensibles en claro.</t>
  </si>
  <si>
    <t>Pasaje electrónico, Factura, Compra confirmada</t>
  </si>
  <si>
    <t>Supuesto: vuelos</t>
  </si>
  <si>
    <t>100 % del tráfico cifrado; datos de pago nunca persistidos</t>
  </si>
  <si>
    <t>Completa el circuito de venta digital y evita gestiones posteriores de mostrador para obtener el comprobante.</t>
  </si>
  <si>
    <t>Todos directos</t>
  </si>
  <si>
    <t>100 % del tráfico cifrado, contraseñas almacenadas con hash y datos de pago no persistidos</t>
  </si>
  <si>
    <t>Acordado con el cliente el 03/09. Sin escalas en el alcance.</t>
  </si>
  <si>
    <t>Lo anterior más registro de auditoría de accesos a datos personales</t>
  </si>
  <si>
    <t>Enunciado 1; POS VolAR (objetivo de envío dentro de los 2 minutos)</t>
  </si>
  <si>
    <t>Pendiente de definición</t>
  </si>
  <si>
    <t>A confirmar con el cliente: no fueron informados requisitos regulatorios específicos</t>
  </si>
  <si>
    <t>Generación de documentos a partir de plantillas y envío mediante un servicio de correo; el envío se asume simulado a los fines del proyecto.</t>
  </si>
  <si>
    <t>Prueba funcional: confirmar una compra y verificar la recepción del pasaje y la factura, con los datos del vuelo y del pasajero correctos.</t>
  </si>
  <si>
    <t>Volumen de usuarios concurrentes esperado en pico.</t>
  </si>
  <si>
    <t>RF-10</t>
  </si>
  <si>
    <t>Notificación de cambios y cancelaciones</t>
  </si>
  <si>
    <t>Ante un cambio de horario o la cancelación de un vuelo, el sistema debe notificar por email a todos los pasajeros con pasajes vendidos para ese vuelo y ofrecerles optar entre la reprogramación y el reembolso.</t>
  </si>
  <si>
    <t>Requisitos regulatorios aplicables a datos personales y de pago.</t>
  </si>
  <si>
    <t>Notificación, Reprogramación, Reembolso, Cancelación</t>
  </si>
  <si>
    <t>Evita que el pasajero se entere del cambio en el aeropuerto y da cumplimiento a la elección acordada con el cliente.</t>
  </si>
  <si>
    <t>RF-13</t>
  </si>
  <si>
    <t>Alcance exacto de las acciones habilitadas al empleado de mostrador.</t>
  </si>
  <si>
    <t>Formato</t>
  </si>
  <si>
    <t>Plantillas TP1</t>
  </si>
  <si>
    <t>Las columnas de cada hoja reproducen los campos de las plantillas de requerimientos funcionales y no funcionales del Práctico 1.</t>
  </si>
  <si>
    <t>RF-01, RF-07, RF-09</t>
  </si>
  <si>
    <t>Enunciado 1; acuerdo con el cliente del 03/09 (el pasajero elige)</t>
  </si>
  <si>
    <t>Reutiliza el mecanismo de envío de correo de RF-09 sobre la lista de pasajes del vuelo afectado.</t>
  </si>
  <si>
    <t>Prueba funcional: cancelar un vuelo con pasajes vendidos y verificar que todos los pasajeros reciben el aviso y pueden registrar su elección.</t>
  </si>
  <si>
    <t>RF-11</t>
  </si>
  <si>
    <t>Reportes de ocupación</t>
  </si>
  <si>
    <t>El sistema debe permitir al administrador consultar reportes de ocupación por vuelo, por clase y por fecha, mostrando asientos vendidos, disponibles y porcentaje de ocupación.</t>
  </si>
  <si>
    <t>Ocupación, Reporte, Clase</t>
  </si>
  <si>
    <t>Es la información que la aerolínea necesita para decidir sobre frecuencias, tarifas y capacidad.</t>
  </si>
  <si>
    <t>RF-03, RF-08</t>
  </si>
  <si>
    <t>Se resuelve con consultas agregadas sobre las transacciones registradas.</t>
  </si>
  <si>
    <t>Prueba funcional: comparar el reporte contra un conjunto conocido de ventas cargadas para un vuelo.</t>
  </si>
  <si>
    <t>Gestión de usuarios, roles y permisos</t>
  </si>
  <si>
    <t>El sistema debe permitir el registro y la autenticación de usuarios, y habilitar funcionalidades diferenciadas según el rol: administrador, empleado de mostrador o pasajero.</t>
  </si>
  <si>
    <t>Rol, Administrador, Empleado de mostrador, Pasajero, Autenticación</t>
  </si>
  <si>
    <t>El enunciado exige interfaces separadas y específicas por tipo de usuario; el rol es lo que determina qué puede hacer cada uno.</t>
  </si>
  <si>
    <t>Ninguna</t>
  </si>
  <si>
    <t>Esquema de autenticación y control de acceso por rol, patrón estándar y ampliamente documentado.</t>
  </si>
  <si>
    <t>Prueba funcional: intentar acceder a funciones de administración con un usuario pasajero y verificar que el sistema lo impide.</t>
  </si>
  <si>
    <t>Venta y gestión asistida desde mostrador</t>
  </si>
  <si>
    <t>El sistema debe permitir al empleado de mostrador buscar vuelos, registrar una venta presencial a nombre de un pasajero y consultar las reservas existentes para asistirlo.</t>
  </si>
  <si>
    <t>Empleado de mostrador, Venta presencial, Reserva</t>
  </si>
  <si>
    <t>Mantiene operativo el canal presencial para pasajeros que no usan el canal digital.</t>
  </si>
  <si>
    <t>RF-05, RF-06, RF-12</t>
  </si>
  <si>
    <t>Enunciado 1; pendiente de confirmar con el cliente el alcance exacto de las acciones del mostrador</t>
  </si>
  <si>
    <t>Reutiliza los flujos de búsqueda y compra ya construidos, con una interfaz propia y permisos distintos.</t>
  </si>
  <si>
    <t>Prueba funcional: completar una venta desde el perfil de mostrador y verificar que queda registrada igual que una compra web.</t>
  </si>
  <si>
    <t>RF-14</t>
  </si>
  <si>
    <t>Consulta de compras y descarga de pasajes</t>
  </si>
  <si>
    <t>El sistema debe permitir al pasajero consultar sus compras y descargar los pasajes electrónicos y la factura desde su cuenta, tanto en la interfaz web como en el acceso móvil.</t>
  </si>
  <si>
    <t>Pasaje electrónico, Factura, Cuenta de usuario</t>
  </si>
  <si>
    <t>Evita depender del correo recibido y reduce las consultas al canal presencial.</t>
  </si>
  <si>
    <t>RF-09, RF-12</t>
  </si>
  <si>
    <t>Enunciado 1; acuerdo con el cliente del 03/09 (el acceso móvil se resuelve con interfaz responsive)</t>
  </si>
  <si>
    <t>Los comprobantes ya se generan en RF-09; solo se agrega el acceso desde la cuenta del pasajero.</t>
  </si>
  <si>
    <t>Prueba funcional: descargar el pasaje desde la cuenta y verificar que coincide con el enviado por email.</t>
  </si>
  <si>
    <t>OPCIONALES</t>
  </si>
  <si>
    <t>RFO-01</t>
  </si>
  <si>
    <t>Selección de asiento en el mapa de cabina</t>
  </si>
  <si>
    <t>Funcional (opcional)</t>
  </si>
  <si>
    <t>El sistema debe permitir al pasajero elegir un asiento determinado sobre un mapa de la cabina al completar la compra, respetando la clase adquirida y bloqueando el asiento elegido para el resto de los compradores.</t>
  </si>
  <si>
    <t>Asiento, Clase, Cupo, Transacción</t>
  </si>
  <si>
    <t>El enunciado define capacidad por clase pero no aclara si los asientos se numeran: sin esto el sistema solo lleva un contador de cupos, cuando cualquier pasajero hoy espera elegir dónde se sienta. PREGUNTA AL CLIENTE: ¿se venden asientos numerados o solo cupo por clase? ¿La selección tiene costo adicional?</t>
  </si>
  <si>
    <t>Opcional</t>
  </si>
  <si>
    <t>RF-03, RF-06</t>
  </si>
  <si>
    <t>Propuesta de la Comisión 5; no surge del enunciado. Pendiente de validación con el cliente.</t>
  </si>
  <si>
    <t>Obliga a modelar la disposición de asientos de cada avión. Es la decisión que más impacta el modelo de datos, por lo que conviene resolverla antes del Sprint 1.</t>
  </si>
  <si>
    <t>Comprar dos pasajes eligiendo asientos y verificar que quedan bloqueados para una compra posterior.</t>
  </si>
  <si>
    <t>RFO-02</t>
  </si>
  <si>
    <t>Check-in online y tarjeta de embarque</t>
  </si>
  <si>
    <t>El sistema debe habilitar el check-in dentro de una ventana previa al vuelo y emitir la tarjeta de embarque descargable para cada pasajero.</t>
  </si>
  <si>
    <t>Check-in, Tarjeta de embarque, Pasaje electrónico</t>
  </si>
  <si>
    <t>Cierra el circuito del pasajero de punta a punta y descongestiona el mostrador, que es una de las tres interfaces exigidas por el enunciado. PREGUNTA AL CLIENTE: ¿el check-in entra en el alcance del sistema o se sigue haciendo en el aeropuerto? ¿Con cuánta anticipación se habilita?</t>
  </si>
  <si>
    <t>RF-07, RF-09, RF-14</t>
  </si>
  <si>
    <t>Reutiliza la generación de comprobantes de RF-09; el costo real está en modelar los estados del pasaje y la ventana temporal.</t>
  </si>
  <si>
    <t>Intentar el check-in dentro y fuera de la ventana habilitada y verificar que solo en el primer caso se emite la tarjeta.</t>
  </si>
  <si>
    <t>RFO-03</t>
  </si>
  <si>
    <t>Cambio o cancelación del pasaje a pedido del pasajero</t>
  </si>
  <si>
    <t>El sistema debe permitir al pasajero solicitar desde su cuenta el cambio de fecha o la cancelación de un pasaje comprado, aplicando la política comercial vigente y liberando el cupo correspondiente.</t>
  </si>
  <si>
    <t>Reprogramación, Reembolso, Cupo, Transacción</t>
  </si>
  <si>
    <t>El enunciado solo contempla cambios originados por la aerolínea: no dice qué ocurre cuando quien se arrepiente es el pasajero, que es el caso más frecuente en la operación real. PREGUNTA AL CLIENTE: ¿existe política de cambios y devoluciones? ¿Con qué penalidad y hasta cuántas horas antes del vuelo?</t>
  </si>
  <si>
    <t>RF-06, RF-08, RF-14</t>
  </si>
  <si>
    <t>Implica revertir una transacción registrada y recalcular el cupo. Definirlo tarde obliga a rehacer el módulo de pagos.</t>
  </si>
  <si>
    <t>Cancelar un pasaje y verificar que el cupo se libera, que se registra el reembolso y que el comprobante queda anulado.</t>
  </si>
  <si>
    <t>RFO-04</t>
  </si>
  <si>
    <t>Catálogo de aeropuertos y de flota</t>
  </si>
  <si>
    <t>El sistema debe permitir administrar aeropuertos (código, nombre y ciudad) y aviones con su configuración de asientos por clase, de modo que al crear un vuelo se seleccionen de una lista en lugar de escribirlos a mano.</t>
  </si>
  <si>
    <t>Aeropuerto, Flota, Capacidad, Clase</t>
  </si>
  <si>
    <t>El enunciado da por existentes los aeropuertos y los aviones: sin catálogo, cada alta de vuelo se carga con texto libre y los reportes de ocupación por ruta pierden confiabilidad. PREGUNTA AL CLIENTE: ¿se administran como catálogos dentro del sistema o alcanza con cargarlos como texto en cada vuelo?</t>
  </si>
  <si>
    <t>Son dos ABM simples que además abaratan RF-01: la capacidad por clase se autocompleta desde el avión seleccionado.</t>
  </si>
  <si>
    <t>Crear un vuelo seleccionando aeropuertos y avión del catálogo y verificar que la capacidad por clase se completa automáticamente.</t>
  </si>
  <si>
    <t>RFO-05</t>
  </si>
  <si>
    <t>Gestión de equipaje con cargo</t>
  </si>
  <si>
    <t>El sistema debe permitir agregar equipaje despachado adicional durante la compra, con su precio asociado, e impactarlo en el importe total y en el detalle de la factura.</t>
  </si>
  <si>
    <t>Equipaje, Transacción, Factura</t>
  </si>
  <si>
    <t>Es una fuente de ingreso central del negocio aerocomercial y no aparece mencionada en el enunciado, aunque condiciona el importe de toda venta. PREGUNTA AL CLIENTE: ¿el equipaje entra en el alcance de esta versión del sistema o queda fuera?</t>
  </si>
  <si>
    <t>RF-06, RF-08, RF-09</t>
  </si>
  <si>
    <t>Convierte la compra en una transacción con ítems de distinto tipo: afecta el cálculo del total y el formato de la factura.</t>
  </si>
  <si>
    <t>Comprar con y sin equipaje adicional y verificar el importe total y el detalle discriminado en la factura.</t>
  </si>
  <si>
    <t>RFO-06</t>
  </si>
  <si>
    <t>Búsqueda flexible por fechas cercanas</t>
  </si>
  <si>
    <t>El sistema debe ofrecer, junto con la búsqueda por fecha exacta, las opciones disponibles en los días previos y posteriores con su precio, para que el pasajero pueda comparar antes de comprar.</t>
  </si>
  <si>
    <t>Búsqueda, Disponibilidad, Ocupación</t>
  </si>
  <si>
    <t>Aumenta la conversión de la venta y ayuda a distribuir la ocupación entre frecuencias, que es lo que el control de ocupación busca optimizar. PREGUNTA AL CLIENTE: ¿le interesa esta funcionalidad comercial o priorizamos únicamente la búsqueda por fecha exacta?</t>
  </si>
  <si>
    <t>Extiende la consulta de búsqueda a un rango de fechas: el costo es bajo si se define junto con RF-05 y alto si se agrega después.</t>
  </si>
  <si>
    <t>Buscar una fecha sin vuelos disponibles y verificar que el sistema ofrece alternativas en los días cercanos.</t>
  </si>
  <si>
    <t>RFO-07</t>
  </si>
  <si>
    <t>Historial de cambios sobre los vuelos</t>
  </si>
  <si>
    <t>El sistema debe registrar qué usuario creó, modificó o canceló cada vuelo, con fecha y detalle de lo modificado, y permitir al administrador consultar ese historial.</t>
  </si>
  <si>
    <t>Vuelo, Rol, Administrador</t>
  </si>
  <si>
    <t>Varios administradores operan sobre datos que afectan ventas ya realizadas: sin traza, ante un reclamo por un cambio de horario nadie puede explicar quién lo hizo ni cuándo. PREGUNTA AL CLIENTE: ¿necesitan trazabilidad de las modificaciones? ¿Quiénes deberían poder consultarla?</t>
  </si>
  <si>
    <t>RF-01, RF-12</t>
  </si>
  <si>
    <t>Registro de eventos sobre la entidad vuelo. Conviene incorporarlo al modelo desde el inicio: agregarlo al final implica reconstruir historia ya perdida.</t>
  </si>
  <si>
    <t>Modificar un mismo vuelo con dos usuarios distintos y verificar que el historial refleja ambos cambios con su autor.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</si>
</sst>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D4E89"/>
      <name val="Arial"/>
    </font>
    <font>
      <i/>
      <sz val="9.0"/>
      <color rgb="FF59636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0.0"/>
      <color rgb="FF1D4E89"/>
      <name val="Arial"/>
    </font>
    <font>
      <sz val="10.0"/>
      <color theme="1"/>
      <name val="Arial"/>
    </font>
    <font>
      <b/>
      <sz val="11.0"/>
      <color rgb="FF1D4E89"/>
      <name val="Arial"/>
    </font>
    <font>
      <b/>
      <sz val="19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31A24"/>
        <bgColor rgb="FF131A24"/>
      </patternFill>
    </fill>
    <fill>
      <patternFill patternType="solid">
        <fgColor rgb="FFFFFFFF"/>
        <bgColor rgb="FFFFFFFF"/>
      </patternFill>
    </fill>
    <fill>
      <patternFill patternType="solid">
        <fgColor rgb="FFF8E3E0"/>
        <bgColor rgb="FFF8E3E0"/>
      </patternFill>
    </fill>
    <fill>
      <patternFill patternType="solid">
        <fgColor rgb="FFF3F3F3"/>
        <bgColor rgb="FFF3F3F3"/>
      </patternFill>
    </fill>
    <fill>
      <patternFill patternType="solid">
        <fgColor rgb="FFFBEEDF"/>
        <bgColor rgb="FFFBEEDF"/>
      </patternFill>
    </fill>
    <fill>
      <patternFill patternType="solid">
        <fgColor rgb="FFE1EFE8"/>
        <bgColor rgb="FFE1EFE8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D3DAE3"/>
      </left>
      <right style="thin">
        <color rgb="FFD3DAE3"/>
      </right>
      <top style="thin">
        <color rgb="FFD3DAE3"/>
      </top>
      <bottom style="thin">
        <color rgb="FFD3DAE3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horizontal="center" readingOrder="0" shrinkToFit="0" vertical="top" wrapText="0"/>
    </xf>
    <xf borderId="1" fillId="5" fontId="5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horizontal="center" shrinkToFit="0" vertical="top" wrapText="0"/>
    </xf>
    <xf borderId="1" fillId="0" fontId="7" numFmtId="0" xfId="0" applyAlignment="1" applyBorder="1" applyFont="1">
      <alignment shrinkToFit="0" vertical="top" wrapText="1"/>
    </xf>
    <xf borderId="1" fillId="6" fontId="6" numFmtId="0" xfId="0" applyAlignment="1" applyBorder="1" applyFill="1" applyFont="1">
      <alignment horizontal="center" readingOrder="0" shrinkToFit="0" vertical="top" wrapText="0"/>
    </xf>
    <xf borderId="1" fillId="7" fontId="6" numFmtId="0" xfId="0" applyAlignment="1" applyBorder="1" applyFill="1" applyFont="1">
      <alignment horizontal="center" readingOrder="0" shrinkToFit="0" vertical="top" wrapText="0"/>
    </xf>
    <xf borderId="0" fillId="3" fontId="5" numFmtId="0" xfId="0" applyAlignment="1" applyFill="1" applyFont="1">
      <alignment shrinkToFit="0" vertical="top" wrapText="1"/>
    </xf>
    <xf borderId="0" fillId="8" fontId="8" numFmtId="0" xfId="0" applyAlignment="1" applyFill="1" applyFont="1">
      <alignment horizontal="center" readingOrder="0" shrinkToFit="0" vertical="top" wrapText="1"/>
    </xf>
    <xf borderId="1" fillId="9" fontId="6" numFmtId="0" xfId="0" applyAlignment="1" applyBorder="1" applyFill="1" applyFont="1">
      <alignment shrinkToFit="0" vertical="top" wrapText="1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Req. Funcionales-style">
      <tableStyleElement dxfId="1" type="firstRowStripe"/>
      <tableStyleElement dxfId="2" type="secondRowStripe"/>
    </tableStyle>
    <tableStyle count="2" pivot="0" name="Req. No Funcionales-style">
      <tableStyleElement dxfId="1" type="firstRowStripe"/>
      <tableStyleElement dxfId="2" type="secondRowStripe"/>
    </tableStyle>
    <tableStyle count="2" pivot="0" name="Glosario-style">
      <tableStyleElement dxfId="1" type="firstRowStripe"/>
      <tableStyleElement dxfId="2" type="secondRowStripe"/>
    </tableStyle>
    <tableStyle count="2" pivot="0" name="Resume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5:K1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eq. Funcionales-style" showColumnStripes="0" showFirstColumn="1" showLastColumn="1" showRowStripes="1"/>
</table>
</file>

<file path=xl/tables/table2.xml><?xml version="1.0" encoding="utf-8"?>
<table xmlns="http://schemas.openxmlformats.org/spreadsheetml/2006/main" headerRowCount="0" ref="A5:J12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q. No Funcionales-style" showColumnStripes="0" showFirstColumn="1" showLastColumn="1" showRowStripes="1"/>
</table>
</file>

<file path=xl/tables/table3.xml><?xml version="1.0" encoding="utf-8"?>
<table xmlns="http://schemas.openxmlformats.org/spreadsheetml/2006/main" headerRowCount="0" ref="A5:B14" displayName="Table_3" name="Table_3" id="4">
  <tableColumns count="2">
    <tableColumn name="Column1" id="1"/>
    <tableColumn name="Column2" id="2"/>
  </tableColumns>
  <tableStyleInfo name="Glosario-style" showColumnStripes="0" showFirstColumn="1" showLastColumn="1" showRowStripes="1"/>
</table>
</file>

<file path=xl/tables/table4.xml><?xml version="1.0" encoding="utf-8"?>
<table xmlns="http://schemas.openxmlformats.org/spreadsheetml/2006/main" headerRowCount="0" ref="A5:C19" displayName="Table_4" name="Table_4" id="3">
  <tableColumns count="3">
    <tableColumn name="Column1" id="1"/>
    <tableColumn name="Column2" id="2"/>
    <tableColumn name="Column3" id="3"/>
  </tableColumns>
  <tableStyleInfo name="Resu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12.0"/>
    <col customWidth="1" min="4" max="4" width="62.0"/>
    <col customWidth="1" min="5" max="5" width="26.0"/>
    <col customWidth="1" min="6" max="6" width="46.0"/>
    <col customWidth="1" min="7" max="7" width="11.0"/>
    <col customWidth="1" min="8" max="8" width="18.0"/>
    <col customWidth="1" min="9" max="9" width="40.0"/>
    <col customWidth="1" min="10" max="10" width="48.0"/>
    <col customWidth="1" min="11" max="11" width="56.0"/>
    <col customWidth="1" min="12" max="26" width="8.71"/>
  </cols>
  <sheetData>
    <row r="1" ht="21.75" customHeight="1">
      <c r="A1" s="1" t="s">
        <v>0</v>
      </c>
    </row>
    <row r="2" ht="15.75" customHeight="1">
      <c r="A2" s="2" t="s">
        <v>4</v>
      </c>
    </row>
    <row r="4" ht="30.0" customHeight="1">
      <c r="A4" s="4" t="s">
        <v>5</v>
      </c>
      <c r="B4" s="4" t="s">
        <v>8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16</v>
      </c>
      <c r="H4" s="4" t="s">
        <v>17</v>
      </c>
      <c r="I4" s="4" t="s">
        <v>19</v>
      </c>
      <c r="J4" s="4" t="s">
        <v>20</v>
      </c>
      <c r="K4" s="4" t="s">
        <v>21</v>
      </c>
    </row>
    <row r="5" ht="78.0" customHeight="1">
      <c r="A5" s="6" t="s">
        <v>23</v>
      </c>
      <c r="B5" s="8" t="s">
        <v>25</v>
      </c>
      <c r="C5" s="8" t="s">
        <v>29</v>
      </c>
      <c r="D5" s="8" t="s">
        <v>31</v>
      </c>
      <c r="E5" s="8" t="s">
        <v>33</v>
      </c>
      <c r="F5" s="8" t="s">
        <v>35</v>
      </c>
      <c r="G5" s="9">
        <v>1.0</v>
      </c>
      <c r="H5" s="7" t="s">
        <v>42</v>
      </c>
      <c r="I5" s="7" t="s">
        <v>46</v>
      </c>
      <c r="J5" s="7" t="s">
        <v>49</v>
      </c>
      <c r="K5" s="7" t="s">
        <v>52</v>
      </c>
    </row>
    <row r="6" ht="78.0" customHeight="1">
      <c r="A6" s="10" t="s">
        <v>54</v>
      </c>
      <c r="B6" s="12" t="s">
        <v>59</v>
      </c>
      <c r="C6" s="12" t="s">
        <v>29</v>
      </c>
      <c r="D6" s="12" t="s">
        <v>64</v>
      </c>
      <c r="E6" s="12" t="s">
        <v>66</v>
      </c>
      <c r="F6" s="12" t="s">
        <v>69</v>
      </c>
      <c r="G6" s="9">
        <v>2.0</v>
      </c>
      <c r="H6" s="7" t="s">
        <v>23</v>
      </c>
      <c r="I6" s="7" t="s">
        <v>75</v>
      </c>
      <c r="J6" s="7" t="s">
        <v>77</v>
      </c>
      <c r="K6" s="7" t="s">
        <v>78</v>
      </c>
    </row>
    <row r="7" ht="78.0" customHeight="1">
      <c r="A7" s="6" t="s">
        <v>80</v>
      </c>
      <c r="B7" s="8" t="s">
        <v>83</v>
      </c>
      <c r="C7" s="8" t="s">
        <v>29</v>
      </c>
      <c r="D7" s="8" t="s">
        <v>87</v>
      </c>
      <c r="E7" s="8" t="s">
        <v>89</v>
      </c>
      <c r="F7" s="8" t="s">
        <v>90</v>
      </c>
      <c r="G7" s="9">
        <v>3.0</v>
      </c>
      <c r="H7" s="7" t="s">
        <v>23</v>
      </c>
      <c r="I7" s="7" t="s">
        <v>93</v>
      </c>
      <c r="J7" s="7" t="s">
        <v>95</v>
      </c>
      <c r="K7" s="7" t="s">
        <v>97</v>
      </c>
    </row>
    <row r="8" ht="78.0" customHeight="1">
      <c r="A8" s="10" t="s">
        <v>99</v>
      </c>
      <c r="B8" s="12" t="s">
        <v>109</v>
      </c>
      <c r="C8" s="12" t="s">
        <v>29</v>
      </c>
      <c r="D8" s="12" t="s">
        <v>112</v>
      </c>
      <c r="E8" s="12" t="s">
        <v>117</v>
      </c>
      <c r="F8" s="12" t="s">
        <v>119</v>
      </c>
      <c r="G8" s="9">
        <v>4.0</v>
      </c>
      <c r="H8" s="7" t="s">
        <v>120</v>
      </c>
      <c r="I8" s="7" t="s">
        <v>93</v>
      </c>
      <c r="J8" s="7" t="s">
        <v>123</v>
      </c>
      <c r="K8" s="7" t="s">
        <v>125</v>
      </c>
    </row>
    <row r="9" ht="78.0" customHeight="1">
      <c r="A9" s="6" t="s">
        <v>129</v>
      </c>
      <c r="B9" s="8" t="s">
        <v>133</v>
      </c>
      <c r="C9" s="8" t="s">
        <v>29</v>
      </c>
      <c r="D9" s="8" t="s">
        <v>135</v>
      </c>
      <c r="E9" s="8" t="s">
        <v>137</v>
      </c>
      <c r="F9" s="8" t="s">
        <v>139</v>
      </c>
      <c r="G9" s="9">
        <v>5.0</v>
      </c>
      <c r="H9" s="7" t="s">
        <v>142</v>
      </c>
      <c r="I9" s="7" t="s">
        <v>93</v>
      </c>
      <c r="J9" s="7" t="s">
        <v>143</v>
      </c>
      <c r="K9" s="7" t="s">
        <v>145</v>
      </c>
    </row>
    <row r="10" ht="78.0" customHeight="1">
      <c r="A10" s="10" t="s">
        <v>151</v>
      </c>
      <c r="B10" s="12" t="s">
        <v>153</v>
      </c>
      <c r="C10" s="12" t="s">
        <v>29</v>
      </c>
      <c r="D10" s="12" t="s">
        <v>156</v>
      </c>
      <c r="E10" s="12" t="s">
        <v>158</v>
      </c>
      <c r="F10" s="12" t="s">
        <v>161</v>
      </c>
      <c r="G10" s="9">
        <v>6.0</v>
      </c>
      <c r="H10" s="7" t="s">
        <v>163</v>
      </c>
      <c r="I10" s="7" t="s">
        <v>166</v>
      </c>
      <c r="J10" s="7" t="s">
        <v>168</v>
      </c>
      <c r="K10" s="7" t="s">
        <v>171</v>
      </c>
    </row>
    <row r="11" ht="78.0" customHeight="1">
      <c r="A11" s="6" t="s">
        <v>173</v>
      </c>
      <c r="B11" s="8" t="s">
        <v>174</v>
      </c>
      <c r="C11" s="8" t="s">
        <v>29</v>
      </c>
      <c r="D11" s="8" t="s">
        <v>176</v>
      </c>
      <c r="E11" s="8" t="s">
        <v>177</v>
      </c>
      <c r="F11" s="8" t="s">
        <v>178</v>
      </c>
      <c r="G11" s="9">
        <v>7.0</v>
      </c>
      <c r="H11" s="7" t="s">
        <v>151</v>
      </c>
      <c r="I11" s="7" t="s">
        <v>179</v>
      </c>
      <c r="J11" s="7" t="s">
        <v>180</v>
      </c>
      <c r="K11" s="7" t="s">
        <v>181</v>
      </c>
    </row>
    <row r="12" ht="78.0" customHeight="1">
      <c r="A12" s="10" t="s">
        <v>182</v>
      </c>
      <c r="B12" s="12" t="s">
        <v>184</v>
      </c>
      <c r="C12" s="12" t="s">
        <v>29</v>
      </c>
      <c r="D12" s="12" t="s">
        <v>187</v>
      </c>
      <c r="E12" s="12" t="s">
        <v>189</v>
      </c>
      <c r="F12" s="12" t="s">
        <v>191</v>
      </c>
      <c r="G12" s="9">
        <v>8.0</v>
      </c>
      <c r="H12" s="7" t="s">
        <v>193</v>
      </c>
      <c r="I12" s="7" t="s">
        <v>195</v>
      </c>
      <c r="J12" s="7" t="s">
        <v>196</v>
      </c>
      <c r="K12" s="7" t="s">
        <v>197</v>
      </c>
    </row>
    <row r="13" ht="78.0" customHeight="1">
      <c r="A13" s="6" t="s">
        <v>199</v>
      </c>
      <c r="B13" s="8" t="s">
        <v>202</v>
      </c>
      <c r="C13" s="8" t="s">
        <v>29</v>
      </c>
      <c r="D13" s="8" t="s">
        <v>207</v>
      </c>
      <c r="E13" s="8" t="s">
        <v>209</v>
      </c>
      <c r="F13" s="8" t="s">
        <v>212</v>
      </c>
      <c r="G13" s="9">
        <v>9.0</v>
      </c>
      <c r="H13" s="7" t="s">
        <v>182</v>
      </c>
      <c r="I13" s="7" t="s">
        <v>217</v>
      </c>
      <c r="J13" s="7" t="s">
        <v>220</v>
      </c>
      <c r="K13" s="7" t="s">
        <v>221</v>
      </c>
    </row>
    <row r="14" ht="78.0" customHeight="1">
      <c r="A14" s="10" t="s">
        <v>223</v>
      </c>
      <c r="B14" s="12" t="s">
        <v>224</v>
      </c>
      <c r="C14" s="12" t="s">
        <v>29</v>
      </c>
      <c r="D14" s="12" t="s">
        <v>225</v>
      </c>
      <c r="E14" s="12" t="s">
        <v>227</v>
      </c>
      <c r="F14" s="12" t="s">
        <v>228</v>
      </c>
      <c r="G14" s="15">
        <v>11.0</v>
      </c>
      <c r="H14" s="7" t="s">
        <v>234</v>
      </c>
      <c r="I14" s="7" t="s">
        <v>235</v>
      </c>
      <c r="J14" s="7" t="s">
        <v>236</v>
      </c>
      <c r="K14" s="7" t="s">
        <v>237</v>
      </c>
    </row>
    <row r="15" ht="78.0" customHeight="1">
      <c r="A15" s="6" t="s">
        <v>238</v>
      </c>
      <c r="B15" s="8" t="s">
        <v>239</v>
      </c>
      <c r="C15" s="8" t="s">
        <v>29</v>
      </c>
      <c r="D15" s="8" t="s">
        <v>240</v>
      </c>
      <c r="E15" s="8" t="s">
        <v>241</v>
      </c>
      <c r="F15" s="8" t="s">
        <v>242</v>
      </c>
      <c r="G15" s="15">
        <v>12.0</v>
      </c>
      <c r="H15" s="7" t="s">
        <v>243</v>
      </c>
      <c r="I15" s="7" t="s">
        <v>93</v>
      </c>
      <c r="J15" s="7" t="s">
        <v>244</v>
      </c>
      <c r="K15" s="7" t="s">
        <v>245</v>
      </c>
    </row>
    <row r="16" ht="78.0" customHeight="1">
      <c r="A16" s="10" t="s">
        <v>42</v>
      </c>
      <c r="B16" s="12" t="s">
        <v>246</v>
      </c>
      <c r="C16" s="12" t="s">
        <v>29</v>
      </c>
      <c r="D16" s="12" t="s">
        <v>247</v>
      </c>
      <c r="E16" s="12" t="s">
        <v>248</v>
      </c>
      <c r="F16" s="12" t="s">
        <v>249</v>
      </c>
      <c r="G16" s="9">
        <v>1.0</v>
      </c>
      <c r="H16" s="7" t="s">
        <v>250</v>
      </c>
      <c r="I16" s="7" t="s">
        <v>93</v>
      </c>
      <c r="J16" s="7" t="s">
        <v>251</v>
      </c>
      <c r="K16" s="7" t="s">
        <v>252</v>
      </c>
    </row>
    <row r="17" ht="78.0" customHeight="1">
      <c r="A17" s="6" t="s">
        <v>229</v>
      </c>
      <c r="B17" s="8" t="s">
        <v>253</v>
      </c>
      <c r="C17" s="8" t="s">
        <v>29</v>
      </c>
      <c r="D17" s="8" t="s">
        <v>254</v>
      </c>
      <c r="E17" s="8" t="s">
        <v>255</v>
      </c>
      <c r="F17" s="8" t="s">
        <v>256</v>
      </c>
      <c r="G17" s="16">
        <v>14.0</v>
      </c>
      <c r="H17" s="7" t="s">
        <v>257</v>
      </c>
      <c r="I17" s="7" t="s">
        <v>258</v>
      </c>
      <c r="J17" s="7" t="s">
        <v>259</v>
      </c>
      <c r="K17" s="7" t="s">
        <v>260</v>
      </c>
    </row>
    <row r="18" ht="78.0" customHeight="1">
      <c r="A18" s="10" t="s">
        <v>261</v>
      </c>
      <c r="B18" s="12" t="s">
        <v>262</v>
      </c>
      <c r="C18" s="12" t="s">
        <v>29</v>
      </c>
      <c r="D18" s="12" t="s">
        <v>263</v>
      </c>
      <c r="E18" s="12" t="s">
        <v>264</v>
      </c>
      <c r="F18" s="12" t="s">
        <v>265</v>
      </c>
      <c r="G18" s="15">
        <v>13.0</v>
      </c>
      <c r="H18" s="7" t="s">
        <v>266</v>
      </c>
      <c r="I18" s="7" t="s">
        <v>267</v>
      </c>
      <c r="J18" s="7" t="s">
        <v>268</v>
      </c>
      <c r="K18" s="7" t="s">
        <v>269</v>
      </c>
    </row>
    <row r="19">
      <c r="A19" s="17"/>
      <c r="B19" s="18" t="s">
        <v>270</v>
      </c>
    </row>
    <row r="21" ht="15.75" customHeight="1">
      <c r="A21" s="10" t="s">
        <v>271</v>
      </c>
      <c r="B21" s="12" t="s">
        <v>272</v>
      </c>
      <c r="C21" s="12" t="s">
        <v>273</v>
      </c>
      <c r="D21" s="12" t="s">
        <v>274</v>
      </c>
      <c r="E21" s="12" t="s">
        <v>275</v>
      </c>
      <c r="F21" s="12" t="s">
        <v>276</v>
      </c>
      <c r="G21" s="19" t="s">
        <v>277</v>
      </c>
      <c r="H21" s="12" t="s">
        <v>278</v>
      </c>
      <c r="I21" s="12" t="s">
        <v>279</v>
      </c>
      <c r="J21" s="12" t="s">
        <v>280</v>
      </c>
      <c r="K21" s="12" t="s">
        <v>281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11" t="s">
        <v>282</v>
      </c>
      <c r="B22" s="7" t="s">
        <v>283</v>
      </c>
      <c r="C22" s="7" t="s">
        <v>273</v>
      </c>
      <c r="D22" s="7" t="s">
        <v>284</v>
      </c>
      <c r="E22" s="7" t="s">
        <v>285</v>
      </c>
      <c r="F22" s="7" t="s">
        <v>286</v>
      </c>
      <c r="G22" s="19" t="s">
        <v>277</v>
      </c>
      <c r="H22" s="7" t="s">
        <v>287</v>
      </c>
      <c r="I22" s="7" t="s">
        <v>279</v>
      </c>
      <c r="J22" s="7" t="s">
        <v>288</v>
      </c>
      <c r="K22" s="7" t="s">
        <v>289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10" t="s">
        <v>290</v>
      </c>
      <c r="B23" s="12" t="s">
        <v>291</v>
      </c>
      <c r="C23" s="12" t="s">
        <v>273</v>
      </c>
      <c r="D23" s="12" t="s">
        <v>292</v>
      </c>
      <c r="E23" s="12" t="s">
        <v>293</v>
      </c>
      <c r="F23" s="12" t="s">
        <v>294</v>
      </c>
      <c r="G23" s="19" t="s">
        <v>277</v>
      </c>
      <c r="H23" s="12" t="s">
        <v>295</v>
      </c>
      <c r="I23" s="12" t="s">
        <v>279</v>
      </c>
      <c r="J23" s="12" t="s">
        <v>296</v>
      </c>
      <c r="K23" s="12" t="s">
        <v>297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11" t="s">
        <v>298</v>
      </c>
      <c r="B24" s="7" t="s">
        <v>299</v>
      </c>
      <c r="C24" s="7" t="s">
        <v>273</v>
      </c>
      <c r="D24" s="7" t="s">
        <v>300</v>
      </c>
      <c r="E24" s="7" t="s">
        <v>301</v>
      </c>
      <c r="F24" s="7" t="s">
        <v>302</v>
      </c>
      <c r="G24" s="19" t="s">
        <v>277</v>
      </c>
      <c r="H24" s="7" t="s">
        <v>120</v>
      </c>
      <c r="I24" s="7" t="s">
        <v>279</v>
      </c>
      <c r="J24" s="7" t="s">
        <v>303</v>
      </c>
      <c r="K24" s="7" t="s">
        <v>304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10" t="s">
        <v>305</v>
      </c>
      <c r="B25" s="12" t="s">
        <v>306</v>
      </c>
      <c r="C25" s="12" t="s">
        <v>273</v>
      </c>
      <c r="D25" s="12" t="s">
        <v>307</v>
      </c>
      <c r="E25" s="12" t="s">
        <v>308</v>
      </c>
      <c r="F25" s="12" t="s">
        <v>309</v>
      </c>
      <c r="G25" s="19" t="s">
        <v>277</v>
      </c>
      <c r="H25" s="12" t="s">
        <v>310</v>
      </c>
      <c r="I25" s="12" t="s">
        <v>279</v>
      </c>
      <c r="J25" s="12" t="s">
        <v>311</v>
      </c>
      <c r="K25" s="12" t="s">
        <v>312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11" t="s">
        <v>313</v>
      </c>
      <c r="B26" s="7" t="s">
        <v>314</v>
      </c>
      <c r="C26" s="7" t="s">
        <v>273</v>
      </c>
      <c r="D26" s="7" t="s">
        <v>315</v>
      </c>
      <c r="E26" s="7" t="s">
        <v>316</v>
      </c>
      <c r="F26" s="7" t="s">
        <v>317</v>
      </c>
      <c r="G26" s="19" t="s">
        <v>277</v>
      </c>
      <c r="H26" s="7" t="s">
        <v>129</v>
      </c>
      <c r="I26" s="7" t="s">
        <v>279</v>
      </c>
      <c r="J26" s="7" t="s">
        <v>318</v>
      </c>
      <c r="K26" s="7" t="s">
        <v>319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0" t="s">
        <v>320</v>
      </c>
      <c r="B27" s="12" t="s">
        <v>321</v>
      </c>
      <c r="C27" s="12" t="s">
        <v>273</v>
      </c>
      <c r="D27" s="12" t="s">
        <v>322</v>
      </c>
      <c r="E27" s="12" t="s">
        <v>323</v>
      </c>
      <c r="F27" s="12" t="s">
        <v>324</v>
      </c>
      <c r="G27" s="19" t="s">
        <v>277</v>
      </c>
      <c r="H27" s="12" t="s">
        <v>325</v>
      </c>
      <c r="I27" s="12" t="s">
        <v>279</v>
      </c>
      <c r="J27" s="12" t="s">
        <v>326</v>
      </c>
      <c r="K27" s="12" t="s">
        <v>327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2:K2"/>
    <mergeCell ref="B19:H20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28.0"/>
    <col customWidth="1" min="4" max="4" width="60.0"/>
    <col customWidth="1" min="5" max="5" width="44.0"/>
    <col customWidth="1" min="6" max="6" width="48.0"/>
    <col customWidth="1" min="7" max="7" width="34.0"/>
    <col customWidth="1" min="8" max="8" width="44.0"/>
    <col customWidth="1" min="9" max="9" width="34.0"/>
    <col customWidth="1" min="10" max="10" width="40.0"/>
    <col customWidth="1" min="11" max="26" width="8.71"/>
  </cols>
  <sheetData>
    <row r="1" ht="21.75" customHeight="1">
      <c r="A1" s="1" t="s">
        <v>1</v>
      </c>
    </row>
    <row r="2" ht="15.75" customHeight="1">
      <c r="A2" s="3" t="s">
        <v>4</v>
      </c>
    </row>
    <row r="4" ht="30.0" customHeight="1">
      <c r="A4" s="4" t="s">
        <v>5</v>
      </c>
      <c r="B4" s="4" t="s">
        <v>8</v>
      </c>
      <c r="C4" s="4" t="s">
        <v>10</v>
      </c>
      <c r="D4" s="4" t="s">
        <v>11</v>
      </c>
      <c r="E4" s="4" t="s">
        <v>39</v>
      </c>
      <c r="F4" s="4" t="s">
        <v>41</v>
      </c>
      <c r="G4" s="4" t="s">
        <v>43</v>
      </c>
      <c r="H4" s="4" t="s">
        <v>45</v>
      </c>
      <c r="I4" s="4" t="s">
        <v>48</v>
      </c>
      <c r="J4" s="4" t="s">
        <v>51</v>
      </c>
    </row>
    <row r="5" ht="84.0" customHeight="1">
      <c r="A5" s="11" t="s">
        <v>57</v>
      </c>
      <c r="B5" s="7" t="s">
        <v>61</v>
      </c>
      <c r="C5" s="7" t="s">
        <v>62</v>
      </c>
      <c r="D5" s="7" t="s">
        <v>63</v>
      </c>
      <c r="E5" s="7" t="s">
        <v>65</v>
      </c>
      <c r="F5" s="7" t="s">
        <v>67</v>
      </c>
      <c r="G5" s="7" t="s">
        <v>68</v>
      </c>
      <c r="H5" s="7" t="s">
        <v>71</v>
      </c>
      <c r="I5" s="7" t="s">
        <v>72</v>
      </c>
      <c r="J5" s="7" t="s">
        <v>73</v>
      </c>
    </row>
    <row r="6" ht="84.0" customHeight="1">
      <c r="A6" s="11" t="s">
        <v>76</v>
      </c>
      <c r="B6" s="7" t="s">
        <v>79</v>
      </c>
      <c r="C6" s="7" t="s">
        <v>62</v>
      </c>
      <c r="D6" s="7" t="s">
        <v>81</v>
      </c>
      <c r="E6" s="7" t="s">
        <v>82</v>
      </c>
      <c r="F6" s="7" t="s">
        <v>84</v>
      </c>
      <c r="G6" s="7" t="s">
        <v>85</v>
      </c>
      <c r="H6" s="7" t="s">
        <v>86</v>
      </c>
      <c r="I6" s="7" t="s">
        <v>88</v>
      </c>
      <c r="J6" s="7" t="s">
        <v>73</v>
      </c>
    </row>
    <row r="7" ht="84.0" customHeight="1">
      <c r="A7" s="11" t="s">
        <v>91</v>
      </c>
      <c r="B7" s="7" t="s">
        <v>92</v>
      </c>
      <c r="C7" s="7" t="s">
        <v>94</v>
      </c>
      <c r="D7" s="7" t="s">
        <v>96</v>
      </c>
      <c r="E7" s="7" t="s">
        <v>98</v>
      </c>
      <c r="F7" s="7" t="s">
        <v>100</v>
      </c>
      <c r="G7" s="7" t="s">
        <v>102</v>
      </c>
      <c r="H7" s="7" t="s">
        <v>103</v>
      </c>
      <c r="I7" s="7" t="s">
        <v>104</v>
      </c>
      <c r="J7" s="7" t="s">
        <v>73</v>
      </c>
    </row>
    <row r="8" ht="84.0" customHeight="1">
      <c r="A8" s="11" t="s">
        <v>106</v>
      </c>
      <c r="B8" s="7" t="s">
        <v>107</v>
      </c>
      <c r="C8" s="7" t="s">
        <v>108</v>
      </c>
      <c r="D8" s="7" t="s">
        <v>110</v>
      </c>
      <c r="E8" s="7" t="s">
        <v>111</v>
      </c>
      <c r="F8" s="7" t="s">
        <v>113</v>
      </c>
      <c r="G8" s="7" t="s">
        <v>114</v>
      </c>
      <c r="H8" s="7" t="s">
        <v>115</v>
      </c>
      <c r="I8" s="7" t="s">
        <v>116</v>
      </c>
      <c r="J8" s="7" t="s">
        <v>118</v>
      </c>
    </row>
    <row r="9" ht="84.0" customHeight="1">
      <c r="A9" s="11" t="s">
        <v>121</v>
      </c>
      <c r="B9" s="7" t="s">
        <v>122</v>
      </c>
      <c r="C9" s="7" t="s">
        <v>124</v>
      </c>
      <c r="D9" s="7" t="s">
        <v>126</v>
      </c>
      <c r="E9" s="7" t="s">
        <v>127</v>
      </c>
      <c r="F9" s="7" t="s">
        <v>130</v>
      </c>
      <c r="G9" s="7" t="s">
        <v>131</v>
      </c>
      <c r="H9" s="7" t="s">
        <v>85</v>
      </c>
      <c r="I9" s="7" t="s">
        <v>134</v>
      </c>
      <c r="J9" s="7" t="s">
        <v>136</v>
      </c>
    </row>
    <row r="10" ht="84.0" customHeight="1">
      <c r="A10" s="11" t="s">
        <v>138</v>
      </c>
      <c r="B10" s="7" t="s">
        <v>140</v>
      </c>
      <c r="C10" s="7" t="s">
        <v>141</v>
      </c>
      <c r="D10" s="7" t="s">
        <v>144</v>
      </c>
      <c r="E10" s="7" t="s">
        <v>147</v>
      </c>
      <c r="F10" s="7" t="s">
        <v>148</v>
      </c>
      <c r="G10" s="7" t="s">
        <v>150</v>
      </c>
      <c r="H10" s="7" t="s">
        <v>152</v>
      </c>
      <c r="I10" s="7" t="s">
        <v>154</v>
      </c>
      <c r="J10" s="7" t="s">
        <v>73</v>
      </c>
    </row>
    <row r="11" ht="84.0" customHeight="1">
      <c r="A11" s="11" t="s">
        <v>155</v>
      </c>
      <c r="B11" s="7" t="s">
        <v>157</v>
      </c>
      <c r="C11" s="7" t="s">
        <v>159</v>
      </c>
      <c r="D11" s="7" t="s">
        <v>160</v>
      </c>
      <c r="E11" s="7" t="s">
        <v>162</v>
      </c>
      <c r="F11" s="7" t="s">
        <v>165</v>
      </c>
      <c r="G11" s="7" t="s">
        <v>167</v>
      </c>
      <c r="H11" s="7" t="s">
        <v>169</v>
      </c>
      <c r="I11" s="7" t="s">
        <v>194</v>
      </c>
      <c r="J11" s="7" t="s">
        <v>73</v>
      </c>
    </row>
    <row r="12" ht="84.0" customHeight="1">
      <c r="A12" s="11" t="s">
        <v>198</v>
      </c>
      <c r="B12" s="7" t="s">
        <v>200</v>
      </c>
      <c r="C12" s="7" t="s">
        <v>159</v>
      </c>
      <c r="D12" s="7" t="s">
        <v>204</v>
      </c>
      <c r="E12" s="7" t="s">
        <v>205</v>
      </c>
      <c r="F12" s="7" t="s">
        <v>208</v>
      </c>
      <c r="G12" s="7" t="s">
        <v>211</v>
      </c>
      <c r="H12" s="7" t="s">
        <v>214</v>
      </c>
      <c r="I12" s="7" t="s">
        <v>216</v>
      </c>
      <c r="J12" s="7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8.0"/>
    <col customWidth="1" min="2" max="2" width="104.0"/>
    <col customWidth="1" min="3" max="26" width="8.71"/>
  </cols>
  <sheetData>
    <row r="1" ht="21.75" customHeight="1">
      <c r="A1" s="1" t="s">
        <v>3</v>
      </c>
    </row>
    <row r="2" ht="15.75" customHeight="1">
      <c r="A2" s="3" t="s">
        <v>4</v>
      </c>
    </row>
    <row r="4" ht="30.0" customHeight="1">
      <c r="A4" s="4" t="s">
        <v>6</v>
      </c>
      <c r="B4" s="4" t="s">
        <v>9</v>
      </c>
    </row>
    <row r="5" ht="31.5" customHeight="1">
      <c r="A5" s="5" t="s">
        <v>15</v>
      </c>
      <c r="B5" s="7" t="s">
        <v>24</v>
      </c>
    </row>
    <row r="6" ht="31.5" customHeight="1">
      <c r="A6" s="5" t="s">
        <v>26</v>
      </c>
      <c r="B6" s="7" t="s">
        <v>27</v>
      </c>
    </row>
    <row r="7" ht="31.5" customHeight="1">
      <c r="A7" s="5" t="s">
        <v>28</v>
      </c>
      <c r="B7" s="7" t="s">
        <v>30</v>
      </c>
    </row>
    <row r="8" ht="31.5" customHeight="1">
      <c r="A8" s="5" t="s">
        <v>32</v>
      </c>
      <c r="B8" s="7" t="s">
        <v>34</v>
      </c>
    </row>
    <row r="9" ht="31.5" customHeight="1">
      <c r="A9" s="5" t="s">
        <v>36</v>
      </c>
      <c r="B9" s="7" t="s">
        <v>37</v>
      </c>
    </row>
    <row r="10" ht="31.5" customHeight="1">
      <c r="A10" s="5" t="s">
        <v>38</v>
      </c>
      <c r="B10" s="7" t="s">
        <v>40</v>
      </c>
    </row>
    <row r="11" ht="31.5" customHeight="1">
      <c r="A11" s="5" t="s">
        <v>44</v>
      </c>
      <c r="B11" s="7" t="s">
        <v>47</v>
      </c>
    </row>
    <row r="12" ht="31.5" customHeight="1">
      <c r="A12" s="5" t="s">
        <v>50</v>
      </c>
      <c r="B12" s="7" t="s">
        <v>53</v>
      </c>
    </row>
    <row r="13" ht="31.5" customHeight="1">
      <c r="A13" s="5" t="s">
        <v>55</v>
      </c>
      <c r="B13" s="7" t="s">
        <v>56</v>
      </c>
    </row>
    <row r="14" ht="31.5" customHeight="1">
      <c r="A14" s="5" t="s">
        <v>58</v>
      </c>
      <c r="B14" s="7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86.0"/>
    <col customWidth="1" min="4" max="26" width="8.71"/>
  </cols>
  <sheetData>
    <row r="1" ht="21.75" customHeight="1">
      <c r="A1" s="1" t="s">
        <v>2</v>
      </c>
    </row>
    <row r="2" ht="15.75" customHeight="1">
      <c r="A2" s="3" t="s">
        <v>4</v>
      </c>
    </row>
    <row r="4" ht="30.0" customHeight="1">
      <c r="A4" s="4" t="s">
        <v>7</v>
      </c>
      <c r="B4" s="4" t="s">
        <v>14</v>
      </c>
      <c r="C4" s="4" t="s">
        <v>18</v>
      </c>
    </row>
    <row r="5">
      <c r="A5" s="5" t="s">
        <v>22</v>
      </c>
      <c r="B5" s="13">
        <f>COUNTA('Req. Funcionales'!A5:A100)</f>
        <v>21</v>
      </c>
      <c r="C5" s="7" t="s">
        <v>70</v>
      </c>
    </row>
    <row r="6">
      <c r="A6" s="5" t="s">
        <v>74</v>
      </c>
      <c r="B6" s="13">
        <f>COUNTIF('Req. Funcionales'!G5:G100,"Alta")</f>
        <v>0</v>
      </c>
      <c r="C6" s="7" t="s">
        <v>101</v>
      </c>
    </row>
    <row r="7">
      <c r="A7" s="5" t="s">
        <v>105</v>
      </c>
      <c r="B7" s="13">
        <f>COUNTIF('Req. Funcionales'!G5:G100,"Media")</f>
        <v>0</v>
      </c>
      <c r="C7" s="7" t="s">
        <v>128</v>
      </c>
    </row>
    <row r="8">
      <c r="A8" s="5" t="s">
        <v>132</v>
      </c>
      <c r="B8" s="13">
        <f>COUNTIF('Req. Funcionales'!G5:G100,"Baja")</f>
        <v>0</v>
      </c>
      <c r="C8" s="7" t="s">
        <v>146</v>
      </c>
    </row>
    <row r="9">
      <c r="A9" s="5" t="s">
        <v>149</v>
      </c>
      <c r="B9" s="13">
        <f>COUNTA('Req. No Funcionales'!A5:A100)</f>
        <v>8</v>
      </c>
      <c r="C9" s="7" t="s">
        <v>164</v>
      </c>
    </row>
    <row r="10">
      <c r="A10" s="5" t="s">
        <v>170</v>
      </c>
      <c r="B10" s="13">
        <f>COUNTA(Glosario!A5:A100)</f>
        <v>10</v>
      </c>
      <c r="C10" s="7" t="s">
        <v>172</v>
      </c>
    </row>
    <row r="11">
      <c r="A11" s="14" t="s">
        <v>175</v>
      </c>
      <c r="B11" s="7"/>
      <c r="C11" s="7"/>
    </row>
    <row r="12">
      <c r="A12" s="5" t="s">
        <v>183</v>
      </c>
      <c r="B12" s="7" t="s">
        <v>185</v>
      </c>
      <c r="C12" s="7" t="s">
        <v>186</v>
      </c>
    </row>
    <row r="13">
      <c r="A13" s="5" t="s">
        <v>188</v>
      </c>
      <c r="B13" s="7" t="s">
        <v>190</v>
      </c>
      <c r="C13" s="7" t="s">
        <v>192</v>
      </c>
    </row>
    <row r="14">
      <c r="A14" s="5" t="s">
        <v>201</v>
      </c>
      <c r="B14" s="7" t="s">
        <v>203</v>
      </c>
      <c r="C14" s="7" t="s">
        <v>206</v>
      </c>
    </row>
    <row r="15">
      <c r="A15" s="5" t="s">
        <v>210</v>
      </c>
      <c r="B15" s="7" t="s">
        <v>213</v>
      </c>
      <c r="C15" s="7" t="s">
        <v>215</v>
      </c>
    </row>
    <row r="16">
      <c r="A16" s="5" t="s">
        <v>218</v>
      </c>
      <c r="B16" s="7" t="s">
        <v>106</v>
      </c>
      <c r="C16" s="7" t="s">
        <v>222</v>
      </c>
    </row>
    <row r="17">
      <c r="A17" s="5" t="s">
        <v>218</v>
      </c>
      <c r="B17" s="7" t="s">
        <v>198</v>
      </c>
      <c r="C17" s="7" t="s">
        <v>226</v>
      </c>
    </row>
    <row r="18">
      <c r="A18" s="5" t="s">
        <v>218</v>
      </c>
      <c r="B18" s="7" t="s">
        <v>229</v>
      </c>
      <c r="C18" s="7" t="s">
        <v>230</v>
      </c>
    </row>
    <row r="19">
      <c r="A19" s="5" t="s">
        <v>231</v>
      </c>
      <c r="B19" s="7" t="s">
        <v>232</v>
      </c>
      <c r="C19" s="7" t="s">
        <v>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